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\SaaS\AlePejoERP\alepejo-erp-cloud\docs\"/>
    </mc:Choice>
  </mc:AlternateContent>
  <xr:revisionPtr revIDLastSave="0" documentId="13_ncr:1_{D49710A4-D902-44C1-984F-AB827E30E65F}" xr6:coauthVersionLast="47" xr6:coauthVersionMax="47" xr10:uidLastSave="{00000000-0000-0000-0000-000000000000}"/>
  <bookViews>
    <workbookView xWindow="28680" yWindow="-5865" windowWidth="16440" windowHeight="28320" xr2:uid="{A80D30AC-C001-49B4-9C21-A5AA2258F82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M15" i="1"/>
  <c r="L15" i="1"/>
  <c r="K15" i="1"/>
  <c r="E16" i="1" l="1"/>
  <c r="E17" i="1"/>
  <c r="E18" i="1"/>
  <c r="F18" i="1" s="1"/>
  <c r="E19" i="1"/>
  <c r="F19" i="1" s="1"/>
  <c r="E20" i="1"/>
  <c r="F20" i="1" s="1"/>
  <c r="H21" i="1"/>
  <c r="F17" i="1"/>
  <c r="H18" i="1"/>
  <c r="C21" i="1"/>
  <c r="H24" i="1" s="1"/>
  <c r="D16" i="1"/>
  <c r="D17" i="1"/>
  <c r="D18" i="1"/>
  <c r="D19" i="1"/>
  <c r="D20" i="1"/>
  <c r="D15" i="1"/>
  <c r="E15" i="1" s="1"/>
  <c r="C4" i="1"/>
  <c r="C6" i="1" s="1"/>
  <c r="I15" i="1" l="1"/>
  <c r="I21" i="1"/>
  <c r="I18" i="1"/>
  <c r="F15" i="1"/>
  <c r="F16" i="1"/>
  <c r="D21" i="1"/>
  <c r="E21" i="1" s="1"/>
  <c r="I24" i="1" s="1"/>
  <c r="F21" i="1" l="1"/>
</calcChain>
</file>

<file path=xl/sharedStrings.xml><?xml version="1.0" encoding="utf-8"?>
<sst xmlns="http://schemas.openxmlformats.org/spreadsheetml/2006/main" count="14" uniqueCount="14">
  <si>
    <t>Cadastro</t>
  </si>
  <si>
    <t>produtos</t>
  </si>
  <si>
    <t>estoque</t>
  </si>
  <si>
    <t>compras</t>
  </si>
  <si>
    <t>vendas</t>
  </si>
  <si>
    <t>financeiro</t>
  </si>
  <si>
    <t>marca</t>
  </si>
  <si>
    <t>rh</t>
  </si>
  <si>
    <t>produção</t>
  </si>
  <si>
    <t>ponto folha</t>
  </si>
  <si>
    <t>basico</t>
  </si>
  <si>
    <t>essencial</t>
  </si>
  <si>
    <t>profissional</t>
  </si>
  <si>
    <t>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</si>
</sst>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32B9-1B15-420F-AFC5-5A4AE6CDE114}">
  <sheetPr codeName="Folha1"/>
  <dimension ref="B4:M24"/>
  <sheetViews>
    <sheetView tabSelected="1" workbookViewId="0">
      <selection activeCell="F17" sqref="F17"/>
    </sheetView>
  </sheetViews>
  <sheetFormatPr defaultRowHeight="15" x14ac:dyDescent="0.25"/>
  <cols>
    <col min="2" max="2" width="14.28515625" customWidth="1"/>
  </cols>
  <sheetData>
    <row r="4" spans="2:13" x14ac:dyDescent="0.25">
      <c r="B4">
        <v>129.9</v>
      </c>
      <c r="C4">
        <f>B4*12</f>
        <v>1558.8000000000002</v>
      </c>
    </row>
    <row r="5" spans="2:13" x14ac:dyDescent="0.25">
      <c r="C5">
        <v>300</v>
      </c>
    </row>
    <row r="6" spans="2:13" x14ac:dyDescent="0.25">
      <c r="C6">
        <f>C4-C5</f>
        <v>1258.8000000000002</v>
      </c>
    </row>
    <row r="11" spans="2:13" x14ac:dyDescent="0.25">
      <c r="B11" t="s">
        <v>0</v>
      </c>
    </row>
    <row r="12" spans="2:13" x14ac:dyDescent="0.25">
      <c r="B12" t="s">
        <v>1</v>
      </c>
    </row>
    <row r="13" spans="2:13" x14ac:dyDescent="0.25">
      <c r="B13" t="s">
        <v>2</v>
      </c>
    </row>
    <row r="14" spans="2:13" x14ac:dyDescent="0.25">
      <c r="B14" t="s">
        <v>3</v>
      </c>
      <c r="H14" t="s">
        <v>10</v>
      </c>
    </row>
    <row r="15" spans="2:13" x14ac:dyDescent="0.25">
      <c r="B15" t="s">
        <v>4</v>
      </c>
      <c r="C15">
        <v>79.900000000000006</v>
      </c>
      <c r="D15">
        <f>C15*12</f>
        <v>958.80000000000007</v>
      </c>
      <c r="E15">
        <f>D15*0.85</f>
        <v>814.98</v>
      </c>
      <c r="F15">
        <f>D15-E15</f>
        <v>143.82000000000005</v>
      </c>
      <c r="H15">
        <f>C15</f>
        <v>79.900000000000006</v>
      </c>
      <c r="I15">
        <f>E15</f>
        <v>814.98</v>
      </c>
      <c r="K15">
        <f>H15*10</f>
        <v>799</v>
      </c>
      <c r="L15">
        <f>H15*100</f>
        <v>7990.0000000000009</v>
      </c>
      <c r="M15">
        <f>H15*300</f>
        <v>23970</v>
      </c>
    </row>
    <row r="16" spans="2:13" x14ac:dyDescent="0.25">
      <c r="B16" t="s">
        <v>5</v>
      </c>
      <c r="C16">
        <v>20.9</v>
      </c>
      <c r="D16">
        <f t="shared" ref="D16:D20" si="0">C16*12</f>
        <v>250.79999999999998</v>
      </c>
      <c r="E16">
        <f t="shared" ref="E16:E21" si="1">D16*0.85</f>
        <v>213.17999999999998</v>
      </c>
      <c r="F16">
        <f t="shared" ref="F16:F21" si="2">D16-E16</f>
        <v>37.620000000000005</v>
      </c>
    </row>
    <row r="17" spans="2:9" x14ac:dyDescent="0.25">
      <c r="B17" t="s">
        <v>6</v>
      </c>
      <c r="C17">
        <v>9.9</v>
      </c>
      <c r="D17">
        <f t="shared" si="0"/>
        <v>118.80000000000001</v>
      </c>
      <c r="E17">
        <f t="shared" si="1"/>
        <v>100.98</v>
      </c>
      <c r="F17">
        <f t="shared" si="2"/>
        <v>17.820000000000007</v>
      </c>
      <c r="H17" t="s">
        <v>11</v>
      </c>
    </row>
    <row r="18" spans="2:9" x14ac:dyDescent="0.25">
      <c r="B18" t="s">
        <v>7</v>
      </c>
      <c r="C18">
        <v>22.9</v>
      </c>
      <c r="D18">
        <f t="shared" si="0"/>
        <v>274.79999999999995</v>
      </c>
      <c r="E18">
        <f t="shared" si="1"/>
        <v>233.57999999999996</v>
      </c>
      <c r="F18">
        <f t="shared" si="2"/>
        <v>41.22</v>
      </c>
      <c r="H18">
        <f>C15+C16</f>
        <v>100.80000000000001</v>
      </c>
      <c r="I18">
        <f>E15+E16</f>
        <v>1028.1600000000001</v>
      </c>
    </row>
    <row r="19" spans="2:9" x14ac:dyDescent="0.25">
      <c r="B19" t="s">
        <v>8</v>
      </c>
      <c r="C19">
        <v>9.9</v>
      </c>
      <c r="D19">
        <f t="shared" si="0"/>
        <v>118.80000000000001</v>
      </c>
      <c r="E19">
        <f t="shared" si="1"/>
        <v>100.98</v>
      </c>
      <c r="F19">
        <f t="shared" si="2"/>
        <v>17.820000000000007</v>
      </c>
    </row>
    <row r="20" spans="2:9" x14ac:dyDescent="0.25">
      <c r="B20" t="s">
        <v>9</v>
      </c>
      <c r="C20">
        <v>29.9</v>
      </c>
      <c r="D20">
        <f t="shared" si="0"/>
        <v>358.79999999999995</v>
      </c>
      <c r="E20">
        <f t="shared" si="1"/>
        <v>304.97999999999996</v>
      </c>
      <c r="F20">
        <f t="shared" si="2"/>
        <v>53.819999999999993</v>
      </c>
      <c r="H20" t="s">
        <v>12</v>
      </c>
    </row>
    <row r="21" spans="2:9" x14ac:dyDescent="0.25">
      <c r="C21">
        <f>SUM(C15:C20)</f>
        <v>173.40000000000003</v>
      </c>
      <c r="D21">
        <f>SUM(D15:D20)</f>
        <v>2080.8000000000002</v>
      </c>
      <c r="E21">
        <f t="shared" si="1"/>
        <v>1768.68</v>
      </c>
      <c r="F21">
        <f t="shared" si="2"/>
        <v>312.12000000000012</v>
      </c>
      <c r="H21">
        <f>C15+C16+C18+C17</f>
        <v>133.60000000000002</v>
      </c>
      <c r="I21">
        <f>E15+E16+E18+E17</f>
        <v>1362.72</v>
      </c>
    </row>
    <row r="23" spans="2:9" x14ac:dyDescent="0.25">
      <c r="H23" t="s">
        <v>13</v>
      </c>
    </row>
    <row r="24" spans="2:9" x14ac:dyDescent="0.25">
      <c r="H24">
        <f>C21</f>
        <v>173.40000000000003</v>
      </c>
      <c r="I24">
        <f>E21</f>
        <v>1768.68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Lourenço</dc:creator>
  <cp:lastModifiedBy>Alessandro Lourenço</cp:lastModifiedBy>
  <dcterms:created xsi:type="dcterms:W3CDTF">2026-08-22T18:56:54Z</dcterms:created>
  <dcterms:modified xsi:type="dcterms:W3CDTF">2026-08-22T23:24:52Z</dcterms:modified>
</cp:coreProperties>
</file>